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50" windowHeight="759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<sst xmlns="http://schemas.openxmlformats.org/spreadsheetml/2006/main" count="24" uniqueCount="12">
  <si>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年份</t>
  </si>
  <si>
    <t>流动比率</t>
  </si>
  <si>
    <t>速动比率</t>
  </si>
  <si>
    <t>资产负债率(%)</t>
  </si>
  <si>
    <t>应收账款周转率(次)</t>
  </si>
  <si>
    <t>存货周转率(次)</t>
  </si>
  <si>
    <t>毛利率(%)</t>
  </si>
  <si>
    <t>总资产收益率(%)</t>
  </si>
  <si>
    <t>营业收入增长率(%)</t>
  </si>
  <si>
    <t>总资产增长率(%)</t>
  </si>
  <si>
    <t>利息保障倍数</t>
  </si>
  <si>
    <t>销售净利率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</si>
</sst>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841578947368421"/>
          <c:y val="0.0509259259259259"/>
          <c:w val="0.888210526315789"/>
          <c:h val="0.898148148148148"/>
        </c:manualLayout>
      </c:layout>
      <c:lineChart>
        <c:grouping val="standard"/>
        <c:varyColors val="0"/>
        <c:ser>
          <c:idx val="1"/>
          <c:order val="1"/>
          <c:tx>
            <c:strRef>
              <c:f>Sheet3!$B$1</c:f>
              <c:strCache>
                <c:ptCount val="1"/>
                <c:pt idx="0">
                  <c:v>销售净利率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Sheet3!$A$2:$A$8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Sheet3!$B$2:$B$8</c:f>
              <c:numCache>
                <c:formatCode>General</c:formatCode>
                <c:ptCount val="7"/>
                <c:pt idx="0">
                  <c:v>-6.59</c:v>
                </c:pt>
                <c:pt idx="1">
                  <c:v>16.27</c:v>
                </c:pt>
                <c:pt idx="2">
                  <c:v>13.51</c:v>
                </c:pt>
                <c:pt idx="3">
                  <c:v>-25.82</c:v>
                </c:pt>
                <c:pt idx="4">
                  <c:v>-14.07</c:v>
                </c:pt>
                <c:pt idx="5">
                  <c:v>-37.41</c:v>
                </c:pt>
                <c:pt idx="6">
                  <c:v>-27.69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3523198"/>
        <c:axId val="26526246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Sheet3!$A$1</c15:sqref>
                        </c15:formulaRef>
                      </c:ext>
                    </c:extLst>
                    <c:strCache>
                      <c:ptCount val="1"/>
                      <c:pt idx="0">
                        <c:v>年份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Sheet3!$A$2:$A$8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Sheet3!$A$2:$A$8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2019</c:v>
                      </c:pt>
                      <c:pt idx="1">
                        <c:v>2020</c:v>
                      </c:pt>
                      <c:pt idx="2">
                        <c:v>2021</c:v>
                      </c:pt>
                      <c:pt idx="3">
                        <c:v>2022</c:v>
                      </c:pt>
                      <c:pt idx="4">
                        <c:v>2023</c:v>
                      </c:pt>
                      <c:pt idx="5">
                        <c:v>2024</c:v>
                      </c:pt>
                      <c:pt idx="6">
                        <c:v>2025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58352319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5262462"/>
        <c:crosses val="autoZero"/>
        <c:auto val="1"/>
        <c:lblAlgn val="ctr"/>
        <c:lblOffset val="100"/>
        <c:noMultiLvlLbl val="0"/>
      </c:catAx>
      <c:valAx>
        <c:axId val="2652624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52319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241300</xdr:colOff>
      <xdr:row>4</xdr:row>
      <xdr:rowOff>101600</xdr:rowOff>
    </xdr:from>
    <xdr:to>
      <xdr:col>13</xdr:col>
      <xdr:colOff>190500</xdr:colOff>
      <xdr:row>20</xdr:row>
      <xdr:rowOff>0</xdr:rowOff>
    </xdr:to>
    <xdr:graphicFrame>
      <xdr:nvGraphicFramePr>
        <xdr:cNvPr id="2" name="图表 1"/>
        <xdr:cNvGraphicFramePr/>
      </xdr:nvGraphicFramePr>
      <xdr:xfrm>
        <a:off x="3289300" y="812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opLeftCell="E1" workbookViewId="0">
      <selection activeCell="B4" sqref="B4"/>
    </sheetView>
  </sheetViews>
  <sheetFormatPr defaultColWidth="9" defaultRowHeight="14" outlineLevelRow="7"/>
  <cols>
    <col min="2" max="3" width="12.8181818181818" customWidth="1"/>
    <col min="4" max="4" width="16" customWidth="1"/>
    <col min="5" max="5" width="21.8181818181818" customWidth="1"/>
    <col min="6" max="6" width="17.0909090909091" customWidth="1"/>
    <col min="7" max="7" width="12.8181818181818" customWidth="1"/>
    <col min="8" max="8" width="18.3636363636364" customWidth="1"/>
    <col min="9" max="9" width="20.6363636363636" customWidth="1"/>
    <col min="10" max="10" width="18.3636363636364" customWidth="1"/>
    <col min="11" max="11" width="14.636363636363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2019</v>
      </c>
      <c r="B2" s="3">
        <v>2.27062873998491</v>
      </c>
      <c r="C2" s="3">
        <v>1.77864183348098</v>
      </c>
      <c r="D2" s="3">
        <v>29.520096754525</v>
      </c>
      <c r="E2">
        <v>2.17</v>
      </c>
      <c r="F2" s="3">
        <v>1.50086777845912</v>
      </c>
      <c r="G2" s="3">
        <v>46.4483351080438</v>
      </c>
      <c r="H2" s="3">
        <v>-2.7690166267817</v>
      </c>
      <c r="I2" s="3">
        <v>107.753287097772</v>
      </c>
      <c r="J2" s="3">
        <v>21.2386335381085</v>
      </c>
      <c r="K2">
        <v>-4.04</v>
      </c>
    </row>
    <row r="3" spans="1:11">
      <c r="A3">
        <v>2020</v>
      </c>
      <c r="B3" s="3">
        <v>1.76595125894154</v>
      </c>
      <c r="C3" s="3">
        <v>1.45682779613263</v>
      </c>
      <c r="D3" s="3">
        <v>45.1883534811828</v>
      </c>
      <c r="E3">
        <v>2.72</v>
      </c>
      <c r="F3" s="3">
        <v>2.82470069642499</v>
      </c>
      <c r="G3" s="3">
        <v>37.3675637477026</v>
      </c>
      <c r="H3" s="3">
        <v>10.3947229752733</v>
      </c>
      <c r="I3" s="3">
        <v>110.824069230961</v>
      </c>
      <c r="J3" s="3">
        <v>52.977455800743</v>
      </c>
      <c r="K3" s="3">
        <v>16.3647426270444</v>
      </c>
    </row>
    <row r="4" spans="1:11">
      <c r="A4">
        <v>2021</v>
      </c>
      <c r="B4" s="3">
        <v>2.35582067052163</v>
      </c>
      <c r="C4" s="3">
        <v>1.86593297549763</v>
      </c>
      <c r="D4" s="3">
        <v>31.4068228483403</v>
      </c>
      <c r="E4">
        <v>1.56</v>
      </c>
      <c r="F4" s="3">
        <v>2.23188486891927</v>
      </c>
      <c r="G4" s="3">
        <v>37.7053170771223</v>
      </c>
      <c r="H4" s="3">
        <v>7.02015463394425</v>
      </c>
      <c r="I4" s="3">
        <v>-9.06718073516221</v>
      </c>
      <c r="J4" s="3">
        <v>-15.1169641698902</v>
      </c>
      <c r="K4" s="3">
        <v>30.2201579340343</v>
      </c>
    </row>
    <row r="5" spans="1:11">
      <c r="A5">
        <v>2022</v>
      </c>
      <c r="B5" s="3">
        <v>1.63991325874364</v>
      </c>
      <c r="C5" s="3">
        <v>1.1859914007239</v>
      </c>
      <c r="D5" s="3">
        <v>44.3508394860441</v>
      </c>
      <c r="E5">
        <v>0.53</v>
      </c>
      <c r="F5" s="3">
        <v>0.782179259059266</v>
      </c>
      <c r="G5" s="3">
        <v>40.140456058168</v>
      </c>
      <c r="H5" s="3">
        <v>-5.98272227684464</v>
      </c>
      <c r="I5" s="3">
        <v>-56.6206609997908</v>
      </c>
      <c r="J5" s="3">
        <v>11.871133074371</v>
      </c>
      <c r="K5" s="3">
        <v>-16.0901505768008</v>
      </c>
    </row>
    <row r="6" spans="1:11">
      <c r="A6">
        <v>2023</v>
      </c>
      <c r="B6" s="3">
        <v>1.81109902058914</v>
      </c>
      <c r="C6" s="3">
        <v>1.15419358651468</v>
      </c>
      <c r="D6" s="3">
        <v>38.5071206691113</v>
      </c>
      <c r="E6">
        <v>0.61</v>
      </c>
      <c r="F6" s="3">
        <v>0.645015292484808</v>
      </c>
      <c r="G6" s="3">
        <v>39.2438475195059</v>
      </c>
      <c r="H6" s="3">
        <v>-3.35515690418711</v>
      </c>
      <c r="I6" s="3">
        <v>1.42770374795281</v>
      </c>
      <c r="J6" s="3">
        <v>-13.3971630897131</v>
      </c>
      <c r="K6" s="3">
        <v>-5.59367583501232</v>
      </c>
    </row>
    <row r="7" spans="1:11">
      <c r="A7">
        <v>2024</v>
      </c>
      <c r="B7" s="3">
        <v>1.58948865155138</v>
      </c>
      <c r="C7" s="3">
        <v>0.980668712866036</v>
      </c>
      <c r="D7" s="3">
        <v>41.5960283909105</v>
      </c>
      <c r="E7">
        <v>0.68</v>
      </c>
      <c r="F7" s="3">
        <v>0.614396446148571</v>
      </c>
      <c r="G7" s="3">
        <v>26.4881898280549</v>
      </c>
      <c r="H7" s="3">
        <v>-7.91364128521096</v>
      </c>
      <c r="I7" s="3">
        <v>-20.8351223330617</v>
      </c>
      <c r="J7" s="3">
        <v>-7.67169510145759</v>
      </c>
      <c r="K7" s="3">
        <v>-12.2197960814459</v>
      </c>
    </row>
    <row r="8" spans="1:11">
      <c r="A8">
        <v>2025</v>
      </c>
      <c r="B8" s="3">
        <v>1.42405169758605</v>
      </c>
      <c r="C8" s="3">
        <v>0.912139335762206</v>
      </c>
      <c r="D8" s="3">
        <v>48.0564345201317</v>
      </c>
      <c r="E8">
        <v>0.94</v>
      </c>
      <c r="F8" s="3">
        <v>0.780663298044017</v>
      </c>
      <c r="G8" s="3">
        <v>32.6250412840589</v>
      </c>
      <c r="H8" s="3">
        <v>-8.00926456348069</v>
      </c>
      <c r="I8" s="3">
        <v>29.4432304090598</v>
      </c>
      <c r="J8" s="3">
        <v>-2.84119769598423</v>
      </c>
      <c r="K8" s="3">
        <v>-8.35414969453788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A1" sqref="A1:A8"/>
    </sheetView>
  </sheetViews>
  <sheetFormatPr defaultColWidth="8.72727272727273" defaultRowHeight="14" outlineLevelRow="7"/>
  <cols>
    <col min="1" max="1" width="9"/>
    <col min="2" max="2" width="12.8181818181818"/>
    <col min="3" max="3" width="9.90909090909091" customWidth="1"/>
    <col min="4" max="4" width="16" customWidth="1"/>
    <col min="5" max="5" width="14.6363636363636" customWidth="1"/>
    <col min="6" max="6" width="21.8181818181818" customWidth="1"/>
    <col min="7" max="7" width="17.0909090909091" customWidth="1"/>
    <col min="8" max="8" width="11.2727272727273" customWidth="1"/>
    <col min="9" max="9" width="18.3636363636364" customWidth="1"/>
    <col min="10" max="10" width="20.6363636363636" customWidth="1"/>
    <col min="11" max="11" width="18.363636363636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2019</v>
      </c>
      <c r="B2">
        <f>(Sheet1!B2-Sheet1!B8)/(Sheet1!B4-Sheet1!B8)</f>
        <v>0.908569685178163</v>
      </c>
      <c r="C2">
        <f>(Sheet1!C2-Sheet1!C8)/(Sheet1!C4-Sheet1!C8)</f>
        <v>0.908480054405831</v>
      </c>
      <c r="D2">
        <f>(Sheet1!D8-Sheet1!D2)/(Sheet1!D8-Sheet1!D2)</f>
        <v>1</v>
      </c>
      <c r="E2">
        <f>(Sheet1!K2-Sheet1!K5)/(Sheet1!K4-Sheet1!K5)</f>
        <v>0.260204497967908</v>
      </c>
      <c r="F2">
        <f>(Sheet1!E2-Sheet1!E5)/(Sheet1!E3-Sheet1!E5)</f>
        <v>0.748858447488584</v>
      </c>
      <c r="G2">
        <f>(Sheet1!F2-Sheet1!F7)/(Sheet1!F3-Sheet1!F7)</f>
        <v>0.401063035643029</v>
      </c>
      <c r="H2">
        <f>(Sheet1!G2-Sheet1!G7)/(Sheet1!G2-Sheet1!G7)</f>
        <v>1</v>
      </c>
      <c r="I2">
        <f>(Sheet1!H2-Sheet1!H8)/(Sheet1!H3-Sheet1!H8)</f>
        <v>0.284734377572491</v>
      </c>
      <c r="J2">
        <f>(Sheet1!I2-Sheet1!I5)/(Sheet1!I3-Sheet1!I5)</f>
        <v>0.981660921015805</v>
      </c>
      <c r="K2">
        <f>(Sheet1!J2-Sheet1!J4)/(Sheet1!J3-Sheet1!J4)</f>
        <v>0.533899807409735</v>
      </c>
    </row>
    <row r="3" spans="1:11">
      <c r="A3">
        <v>2020</v>
      </c>
      <c r="B3">
        <f>(Sheet1!B3-Sheet1!B8)/(Sheet1!B4-Sheet1!B8)</f>
        <v>0.366935980147869</v>
      </c>
      <c r="C3">
        <f>(Sheet1!C3-Sheet1!C8)/(Sheet1!C4-Sheet1!C8)</f>
        <v>0.571075794258302</v>
      </c>
      <c r="D3">
        <f>(Sheet1!D8-Sheet1!D3)/(Sheet1!D8-Sheet1!D2)</f>
        <v>0.154727491223778</v>
      </c>
      <c r="E3">
        <f>(Sheet1!K3-Sheet1!K5)/(Sheet1!K4-Sheet1!K5)</f>
        <v>0.700813582277298</v>
      </c>
      <c r="F3">
        <f>(Sheet1!E3-Sheet1!E5)/(Sheet1!E3-Sheet1!E5)</f>
        <v>1</v>
      </c>
      <c r="G3">
        <f>(Sheet1!F3-Sheet1!F7)/(Sheet1!F3-Sheet1!F7)</f>
        <v>1</v>
      </c>
      <c r="H3">
        <f>(Sheet1!G3-Sheet1!G7)/(Sheet1!G2-Sheet1!G7)</f>
        <v>0.545054846397077</v>
      </c>
      <c r="I3">
        <f>(Sheet1!H3-Sheet1!H8)/(Sheet1!H3-Sheet1!H8)</f>
        <v>1</v>
      </c>
      <c r="J3">
        <f>(Sheet1!I3-Sheet1!I5)/(Sheet1!I3-Sheet1!I5)</f>
        <v>1</v>
      </c>
      <c r="K3">
        <f>(Sheet1!J3-Sheet1!J4)/(Sheet1!J3-Sheet1!J4)</f>
        <v>1</v>
      </c>
    </row>
    <row r="4" spans="1:11">
      <c r="A4">
        <v>2021</v>
      </c>
      <c r="B4">
        <f>(Sheet1!B4-Sheet1!B8)/(Sheet1!B4-Sheet1!B8)</f>
        <v>1</v>
      </c>
      <c r="C4">
        <f>(Sheet1!C4-Sheet1!C8)/(Sheet1!C4-Sheet1!C8)</f>
        <v>1</v>
      </c>
      <c r="D4">
        <f>(Sheet1!D8-Sheet1!D4)/(Sheet1!D8-Sheet1!D2)</f>
        <v>0.898214732722662</v>
      </c>
      <c r="E4">
        <f>(Sheet1!K4-Sheet1!K5)/(Sheet1!K4-Sheet1!K5)</f>
        <v>1</v>
      </c>
      <c r="F4">
        <f>(Sheet1!E4-Sheet1!E5)/(Sheet1!E3-Sheet1!E5)</f>
        <v>0.470319634703196</v>
      </c>
      <c r="G4">
        <f>(Sheet1!F4-Sheet1!F7)/(Sheet1!F3-Sheet1!F7)</f>
        <v>0.731794467919255</v>
      </c>
      <c r="H4">
        <f>(Sheet1!G4-Sheet1!G7)/(Sheet1!G2-Sheet1!G7)</f>
        <v>0.561976232723775</v>
      </c>
      <c r="I4">
        <f>(Sheet1!H4-Sheet1!H8)/(Sheet1!H3-Sheet1!H8)</f>
        <v>0.816639283512712</v>
      </c>
      <c r="J4">
        <f>(Sheet1!I4-Sheet1!I5)/(Sheet1!I3-Sheet1!I5)</f>
        <v>0.283995084223291</v>
      </c>
      <c r="K4">
        <f>(Sheet1!J4-Sheet1!J4)/(Sheet1!J3-Sheet1!J4)</f>
        <v>0</v>
      </c>
    </row>
    <row r="5" spans="1:11">
      <c r="A5">
        <v>2022</v>
      </c>
      <c r="B5">
        <f>(Sheet1!B5-Sheet1!B8)/(Sheet1!B4-Sheet1!B8)</f>
        <v>0.231668543842481</v>
      </c>
      <c r="C5">
        <f>(Sheet1!C5-Sheet1!C8)/(Sheet1!C4-Sheet1!C8)</f>
        <v>0.2871187786885</v>
      </c>
      <c r="D5">
        <f>(Sheet1!D8-Sheet1!D5)/(Sheet1!D8-Sheet1!D2)</f>
        <v>0.19990977079427</v>
      </c>
      <c r="E5">
        <f>(Sheet1!K5-Sheet1!K5)/(Sheet1!K4-Sheet1!K5)</f>
        <v>0</v>
      </c>
      <c r="F5">
        <f>(Sheet1!E5-Sheet1!E5)/(Sheet1!E3-Sheet1!E5)</f>
        <v>0</v>
      </c>
      <c r="G5">
        <f>(Sheet1!F5-Sheet1!F7)/(Sheet1!F3-Sheet1!F7)</f>
        <v>0.0759093744174415</v>
      </c>
      <c r="H5">
        <f>(Sheet1!G5-Sheet1!G7)/(Sheet1!G2-Sheet1!G7)</f>
        <v>0.68397629569361</v>
      </c>
      <c r="I5">
        <f>(Sheet1!H5-Sheet1!H8)/(Sheet1!H3-Sheet1!H8)</f>
        <v>0.110114304433682</v>
      </c>
      <c r="J5">
        <f>(Sheet1!I5-Sheet1!I5)/(Sheet1!I3-Sheet1!I5)</f>
        <v>0</v>
      </c>
      <c r="K5">
        <f>(Sheet1!J5-Sheet1!J4)/(Sheet1!J3-Sheet1!J4)</f>
        <v>0.396333462505448</v>
      </c>
    </row>
    <row r="6" spans="1:11">
      <c r="A6">
        <v>2023</v>
      </c>
      <c r="B6">
        <f>(Sheet1!B6-Sheet1!B8)/(Sheet1!B4-Sheet1!B8)</f>
        <v>0.415389795373503</v>
      </c>
      <c r="C6">
        <f>(Sheet1!C6-Sheet1!C8)/(Sheet1!C4-Sheet1!C8)</f>
        <v>0.25378052512451</v>
      </c>
      <c r="D6">
        <f>(Sheet1!D8-Sheet1!D6)/(Sheet1!D8-Sheet1!D2)</f>
        <v>0.515167233774662</v>
      </c>
      <c r="E6">
        <f>(Sheet1!K6-Sheet1!K5)/(Sheet1!K4-Sheet1!K5)</f>
        <v>0.226655254074428</v>
      </c>
      <c r="F6">
        <f>(Sheet1!E6-Sheet1!E5)/(Sheet1!E3-Sheet1!E5)</f>
        <v>0.0365296803652968</v>
      </c>
      <c r="G6">
        <f>(Sheet1!F6-Sheet1!F7)/(Sheet1!F3-Sheet1!F7)</f>
        <v>0.0138527744912981</v>
      </c>
      <c r="H6">
        <f>(Sheet1!G6-Sheet1!G7)/(Sheet1!G2-Sheet1!G7)</f>
        <v>0.639056355177896</v>
      </c>
      <c r="I6">
        <f>(Sheet1!H6-Sheet1!H8)/(Sheet1!H3-Sheet1!H8)</f>
        <v>0.252885829741693</v>
      </c>
      <c r="J6">
        <f>(Sheet1!I6-Sheet1!I5)/(Sheet1!I3-Sheet1!I5)</f>
        <v>0.346671792344545</v>
      </c>
      <c r="K6">
        <f>(Sheet1!J6-Sheet1!J4)/(Sheet1!J3-Sheet1!J4)</f>
        <v>0.0252561234961513</v>
      </c>
    </row>
    <row r="7" spans="1:11">
      <c r="A7">
        <v>2024</v>
      </c>
      <c r="B7">
        <f>(Sheet1!B7-Sheet1!B8)/(Sheet1!B4-Sheet1!B8)</f>
        <v>0.177551473348714</v>
      </c>
      <c r="C7">
        <f>(Sheet1!C7-Sheet1!C8)/(Sheet1!C4-Sheet1!C8)</f>
        <v>0.0718492703755496</v>
      </c>
      <c r="D7">
        <f>(Sheet1!D8-Sheet1!D7)/(Sheet1!D8-Sheet1!D2)</f>
        <v>0.348526565005099</v>
      </c>
      <c r="E7">
        <f>(Sheet1!K7-Sheet1!K5)/(Sheet1!K4-Sheet1!K5)</f>
        <v>0.0835743621627863</v>
      </c>
      <c r="F7">
        <f>(Sheet1!E7-Sheet1!E5)/(Sheet1!E3-Sheet1!E5)</f>
        <v>0.0684931506849315</v>
      </c>
      <c r="G7">
        <f>(Sheet1!F7-Sheet1!F7)/(Sheet1!F3-Sheet1!F7)</f>
        <v>0</v>
      </c>
      <c r="H7">
        <f>(Sheet1!G7-Sheet1!G7)/(Sheet1!G2-Sheet1!G7)</f>
        <v>0</v>
      </c>
      <c r="I7">
        <f>(Sheet1!H7-Sheet1!H8)/(Sheet1!H3-Sheet1!H8)</f>
        <v>0.00519579129622709</v>
      </c>
      <c r="J7">
        <f>(Sheet1!I7-Sheet1!I5)/(Sheet1!I3-Sheet1!I5)</f>
        <v>0.213715526415277</v>
      </c>
      <c r="K7">
        <f>(Sheet1!J7-Sheet1!J4)/(Sheet1!J3-Sheet1!J4)</f>
        <v>0.109337432812314</v>
      </c>
    </row>
    <row r="8" spans="1:11">
      <c r="A8">
        <v>2025</v>
      </c>
      <c r="B8">
        <f>(Sheet1!B8-Sheet1!B8)/(Sheet1!B4-Sheet1!B8)</f>
        <v>0</v>
      </c>
      <c r="C8">
        <f>(Sheet1!C8-Sheet1!C8)/(Sheet1!C4-Sheet1!C8)</f>
        <v>0</v>
      </c>
      <c r="D8">
        <f>(Sheet1!D8-Sheet1!D8)/(Sheet1!D8-Sheet1!D2)</f>
        <v>0</v>
      </c>
      <c r="E8">
        <f>(Sheet1!K8-Sheet1!K5)/(Sheet1!K4-Sheet1!K5)</f>
        <v>0.167047059953249</v>
      </c>
      <c r="F8">
        <f>(Sheet1!E8-Sheet1!E5)/(Sheet1!E3-Sheet1!E5)</f>
        <v>0.187214611872146</v>
      </c>
      <c r="G8">
        <f>(Sheet1!F8-Sheet1!F7)/(Sheet1!F3-Sheet1!F7)</f>
        <v>0.0752235136292448</v>
      </c>
      <c r="H8">
        <f>(Sheet1!G8-Sheet1!G7)/(Sheet1!G2-Sheet1!G7)</f>
        <v>0.307455249945326</v>
      </c>
      <c r="I8">
        <f>(Sheet1!H8-Sheet1!H8)/(Sheet1!H3-Sheet1!H8)</f>
        <v>0</v>
      </c>
      <c r="J8">
        <f>(Sheet1!I8-Sheet1!I5)/(Sheet1!I3-Sheet1!I5)</f>
        <v>0.513983875695866</v>
      </c>
      <c r="K8">
        <f>(Sheet1!J8-Sheet1!J4)/(Sheet1!J3-Sheet1!J4)</f>
        <v>0.180275659579744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:B8"/>
    </sheetView>
  </sheetViews>
  <sheetFormatPr defaultColWidth="8.72727272727273" defaultRowHeight="14" outlineLevelRow="7" outlineLevelCol="1"/>
  <sheetData>
    <row r="1" spans="1:2">
      <c r="A1" s="1" t="s">
        <v>0</v>
      </c>
      <c r="B1" s="2" t="s">
        <v>11</v>
      </c>
    </row>
    <row r="2" spans="1:2">
      <c r="A2" s="2">
        <v>2019</v>
      </c>
      <c r="B2" s="2">
        <v>-6.59</v>
      </c>
    </row>
    <row r="3" spans="1:2">
      <c r="A3" s="2">
        <v>2020</v>
      </c>
      <c r="B3" s="2">
        <v>16.27</v>
      </c>
    </row>
    <row r="4" spans="1:2">
      <c r="A4" s="2">
        <v>2021</v>
      </c>
      <c r="B4" s="2">
        <v>13.51</v>
      </c>
    </row>
    <row r="5" spans="1:2">
      <c r="A5" s="2">
        <v>2022</v>
      </c>
      <c r="B5" s="2">
        <v>-25.82</v>
      </c>
    </row>
    <row r="6" spans="1:2">
      <c r="A6" s="2">
        <v>2023</v>
      </c>
      <c r="B6" s="2">
        <v>-14.07</v>
      </c>
    </row>
    <row r="7" spans="1:2">
      <c r="A7" s="2">
        <v>2024</v>
      </c>
      <c r="B7" s="2">
        <v>-37.41</v>
      </c>
    </row>
    <row r="8" spans="1:2">
      <c r="A8" s="2">
        <v>2025</v>
      </c>
      <c r="B8" s="2">
        <v>-27.69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WPS_1652015967</cp:lastModifiedBy>
  <dcterms:created xsi:type="dcterms:W3CDTF">2026-06-01T10:53:00Z</dcterms:created>
  <dcterms:modified xsi:type="dcterms:W3CDTF">2026-06-01T23:34:15Z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F581AC96735448E99225A95A31EB8A14_12</vt:lpwstr>
  </property>
</Properties>
</file>