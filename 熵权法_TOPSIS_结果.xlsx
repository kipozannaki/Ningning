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4450" windowHeight="7590" firstSheet="2" activeTab="5"/>
  </bookViews>
  <sheets>
    <sheet name="原始数据" sheetId="1" r:id="rId1"/>
    <sheet name="标准化数据" sheetId="2" r:id="rId2"/>
    <sheet name="指标权重" sheetId="3" r:id="rId3"/>
    <sheet name="TOPSIS结果" sheetId="4" r:id="rId4"/>
    <sheet name="加权矩阵" sheetId="5" r:id="rId5"/>
    <sheet name="各维度综合得分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<sst xmlns="http://schemas.openxmlformats.org/spreadsheetml/2006/main" count="54" uniqueCount="20">
  <si>
    <t>年份</t>
  </si>
  <si>
    <t>流动比率</t>
  </si>
  <si>
    <t>速动比率</t>
  </si>
  <si>
    <t>利息保障倍数</t>
  </si>
  <si>
    <t>资产负债率(%)</t>
  </si>
  <si>
    <t>应收账款周转率(次)</t>
  </si>
  <si>
    <t>存货周转率(次)</t>
  </si>
  <si>
    <t>毛利率(%)</t>
  </si>
  <si>
    <t>总资产收益率(%)</t>
  </si>
  <si>
    <t>营业收入增长率(%)</t>
  </si>
  <si>
    <t>总资产增长率(%)</t>
  </si>
  <si>
    <t>0.908569685178163</t>
  </si>
  <si>
    <t>权重</t>
  </si>
  <si>
    <t>权重(%)</t>
  </si>
  <si>
    <t>相对贴近度</t>
  </si>
  <si>
    <t>排名</t>
  </si>
  <si>
    <t>偿债能力</t>
  </si>
  <si>
    <t>营运能力</t>
  </si>
  <si>
    <t>盈利能力</t>
  </si>
  <si>
    <t>发展能力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</si>
</sst>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vertic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76" fontId="0" fillId="0" borderId="1" xfId="0" applyNumberFormat="1" applyBorder="1"/>
    <xf numFmtId="0" fontId="1" fillId="0" borderId="1" xfId="0" applyFont="1" applyBorder="1" applyAlignment="1">
      <alignment horizontal="center" vertical="top"/>
    </xf>
    <xf numFmtId="0" fontId="0" fillId="0" borderId="1" xfId="0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TOPSIS结果!$B$1</c:f>
              <c:strCache>
                <c:ptCount val="1"/>
                <c:pt idx="0">
                  <c:v>相对贴近度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cap="none" spc="0" normalizeH="0" baseline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  <a:cs typeface="+mn-cs"/>
                      </a:defRPr>
                    </a:pPr>
                    <a:r>
                      <a:rPr sz="1050" u="none" strike="noStrike" cap="none" normalizeH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</a:rPr>
                      <a:t>0.559</a:t>
                    </a:r>
                    <a:r>
                      <a:rPr lang="en-US" altLang="zh-CN" sz="1050" u="none" strike="noStrike" cap="none" normalizeH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</a:rPr>
                      <a:t>8</a:t>
                    </a:r>
                    <a:endParaRPr lang="en-US" altLang="zh-CN" sz="1050" u="none" strike="noStrike" cap="none" normalizeH="0">
                      <a:solidFill>
                        <a:schemeClr val="tx1"/>
                      </a:solidFill>
                      <a:uFill>
                        <a:solidFill>
                          <a:schemeClr val="tx1"/>
                        </a:solidFill>
                      </a:uFill>
                      <a:latin typeface="Times New Roman" panose="02020603050405020304" charset="0"/>
                      <a:ea typeface="宋体" panose="02010600030101010101" pitchFamily="7" charset="-122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cap="none" spc="0" normalizeH="0" baseline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  <a:cs typeface="+mn-cs"/>
                      </a:defRPr>
                    </a:pPr>
                    <a:r>
                      <a:rPr sz="1050" u="none" strike="noStrike" cap="none" normalizeH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</a:rPr>
                      <a:t>0.744</a:t>
                    </a:r>
                    <a:r>
                      <a:rPr lang="en-US" altLang="zh-CN" sz="1050" u="none" strike="noStrike" cap="none" normalizeH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</a:rPr>
                      <a:t>9</a:t>
                    </a:r>
                    <a:endParaRPr lang="en-US" altLang="zh-CN" sz="1050" u="none" strike="noStrike" cap="none" normalizeH="0">
                      <a:solidFill>
                        <a:schemeClr val="tx1"/>
                      </a:solidFill>
                      <a:uFill>
                        <a:solidFill>
                          <a:schemeClr val="tx1"/>
                        </a:solidFill>
                      </a:uFill>
                      <a:latin typeface="Times New Roman" panose="02020603050405020304" charset="0"/>
                      <a:ea typeface="宋体" panose="02010600030101010101" pitchFamily="7" charset="-122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cap="none" spc="0" normalizeH="0" baseline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  <a:cs typeface="+mn-cs"/>
                      </a:defRPr>
                    </a:pPr>
                    <a:r>
                      <a:rPr sz="1050" u="none" strike="noStrike" cap="none" normalizeH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</a:rPr>
                      <a:t>0.606</a:t>
                    </a:r>
                    <a:r>
                      <a:rPr lang="en-US" altLang="zh-CN" sz="1050" u="none" strike="noStrike" cap="none" normalizeH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</a:rPr>
                      <a:t>5</a:t>
                    </a:r>
                    <a:endParaRPr lang="en-US" altLang="zh-CN" sz="1050" u="none" strike="noStrike" cap="none" normalizeH="0">
                      <a:solidFill>
                        <a:schemeClr val="tx1"/>
                      </a:solidFill>
                      <a:uFill>
                        <a:solidFill>
                          <a:schemeClr val="tx1"/>
                        </a:solidFill>
                      </a:uFill>
                      <a:latin typeface="Times New Roman" panose="02020603050405020304" charset="0"/>
                      <a:ea typeface="宋体" panose="02010600030101010101" pitchFamily="7" charset="-122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layout>
                <c:manualLayout>
                  <c:x val="-0.0118421052631579"/>
                  <c:y val="0.138666666666667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cap="none" spc="0" normalizeH="0" baseline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  <a:cs typeface="+mn-cs"/>
                      </a:defRPr>
                    </a:pPr>
                    <a:r>
                      <a:rPr sz="1050" u="none" strike="noStrike" cap="none" normalizeH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</a:rPr>
                      <a:t>0.197</a:t>
                    </a:r>
                    <a:r>
                      <a:rPr lang="en-US" altLang="zh-CN" sz="1050" u="none" strike="noStrike" cap="none" normalizeH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</a:rPr>
                      <a:t>6</a:t>
                    </a:r>
                    <a:endParaRPr lang="en-US" altLang="zh-CN" sz="1050" u="none" strike="noStrike" cap="none" normalizeH="0">
                      <a:solidFill>
                        <a:schemeClr val="tx1"/>
                      </a:solidFill>
                      <a:uFill>
                        <a:solidFill>
                          <a:schemeClr val="tx1"/>
                        </a:solidFill>
                      </a:uFill>
                      <a:latin typeface="Times New Roman" panose="02020603050405020304" charset="0"/>
                      <a:ea typeface="宋体" panose="02010600030101010101" pitchFamily="7" charset="-122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cap="none" spc="0" normalizeH="0" baseline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  <a:cs typeface="+mn-cs"/>
                      </a:defRPr>
                    </a:pPr>
                    <a:r>
                      <a:rPr sz="1050" u="none" strike="noStrike" cap="none" normalizeH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</a:rPr>
                      <a:t>0.225</a:t>
                    </a:r>
                    <a:r>
                      <a:rPr lang="en-US" altLang="zh-CN" sz="1050" u="none" strike="noStrike" cap="none" normalizeH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</a:rPr>
                      <a:t>2</a:t>
                    </a:r>
                    <a:endParaRPr lang="en-US" altLang="zh-CN" sz="1050" u="none" strike="noStrike" cap="none" normalizeH="0">
                      <a:solidFill>
                        <a:schemeClr val="tx1"/>
                      </a:solidFill>
                      <a:uFill>
                        <a:solidFill>
                          <a:schemeClr val="tx1"/>
                        </a:solidFill>
                      </a:uFill>
                      <a:latin typeface="Times New Roman" panose="02020603050405020304" charset="0"/>
                      <a:ea typeface="宋体" panose="02010600030101010101" pitchFamily="7" charset="-122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0.00131578947368421"/>
                  <c:y val="0.117333333333333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cap="none" spc="0" normalizeH="0" baseline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  <a:cs typeface="+mn-cs"/>
                      </a:defRPr>
                    </a:pPr>
                    <a:r>
                      <a:rPr sz="1050" u="none" strike="noStrike" cap="none" normalizeH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</a:rPr>
                      <a:t>0.115</a:t>
                    </a:r>
                    <a:r>
                      <a:rPr lang="en-US" altLang="zh-CN" sz="1050" u="none" strike="noStrike" cap="none" normalizeH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</a:rPr>
                      <a:t>2</a:t>
                    </a:r>
                    <a:endParaRPr lang="en-US" altLang="zh-CN" sz="1050" u="none" strike="noStrike" cap="none" normalizeH="0">
                      <a:solidFill>
                        <a:schemeClr val="tx1"/>
                      </a:solidFill>
                      <a:uFill>
                        <a:solidFill>
                          <a:schemeClr val="tx1"/>
                        </a:solidFill>
                      </a:uFill>
                      <a:latin typeface="Times New Roman" panose="02020603050405020304" charset="0"/>
                      <a:ea typeface="宋体" panose="02010600030101010101" pitchFamily="7" charset="-122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6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cap="none" spc="0" normalizeH="0" baseline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  <a:cs typeface="+mn-cs"/>
                      </a:defRPr>
                    </a:pPr>
                    <a:r>
                      <a:rPr sz="1050" u="none" strike="noStrike" cap="none" normalizeH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</a:rPr>
                      <a:t>0.157</a:t>
                    </a:r>
                    <a:r>
                      <a:rPr lang="en-US" altLang="zh-CN" sz="1050" u="none" strike="noStrike" cap="none" normalizeH="0">
                        <a:solidFill>
                          <a:schemeClr val="tx1"/>
                        </a:solidFill>
                        <a:uFill>
                          <a:solidFill>
                            <a:schemeClr val="tx1"/>
                          </a:solidFill>
                        </a:uFill>
                        <a:latin typeface="Times New Roman" panose="02020603050405020304" charset="0"/>
                        <a:ea typeface="宋体" panose="02010600030101010101" pitchFamily="7" charset="-122"/>
                      </a:rPr>
                      <a:t>3</a:t>
                    </a:r>
                    <a:endParaRPr lang="en-US" altLang="zh-CN" sz="1050" u="none" strike="noStrike" cap="none" normalizeH="0">
                      <a:solidFill>
                        <a:schemeClr val="tx1"/>
                      </a:solidFill>
                      <a:uFill>
                        <a:solidFill>
                          <a:schemeClr val="tx1"/>
                        </a:solidFill>
                      </a:uFill>
                      <a:latin typeface="Times New Roman" panose="02020603050405020304" charset="0"/>
                      <a:ea typeface="宋体" panose="02010600030101010101" pitchFamily="7" charset="-122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50" b="0" i="0" u="none" strike="noStrike" kern="1200" cap="none" spc="0" normalizeH="0" baseline="0">
                    <a:solidFill>
                      <a:schemeClr val="tx1"/>
                    </a:solidFill>
                    <a:uFill>
                      <a:solidFill>
                        <a:schemeClr val="tx1"/>
                      </a:solidFill>
                    </a:uFill>
                    <a:latin typeface="Times New Roman" panose="02020603050405020304" charset="0"/>
                    <a:ea typeface="宋体" panose="02010600030101010101" pitchFamily="7" charset="-122"/>
                    <a:cs typeface="+mn-cs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TOPSIS结果!$A$2:$A$8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TOPSIS结果!$B$2:$B$8</c:f>
              <c:numCache>
                <c:formatCode>General</c:formatCode>
                <c:ptCount val="7"/>
                <c:pt idx="0">
                  <c:v>0.559775957177062</c:v>
                </c:pt>
                <c:pt idx="1">
                  <c:v>0.74488979569569</c:v>
                </c:pt>
                <c:pt idx="2">
                  <c:v>0.606478997192508</c:v>
                </c:pt>
                <c:pt idx="3">
                  <c:v>0.197582877112551</c:v>
                </c:pt>
                <c:pt idx="4">
                  <c:v>0.22516564968513</c:v>
                </c:pt>
                <c:pt idx="5">
                  <c:v>0.115194287098762</c:v>
                </c:pt>
                <c:pt idx="6">
                  <c:v>0.157284683503641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30145122"/>
        <c:axId val="1974214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TOPSIS结果!$A$1</c15:sqref>
                        </c15:formulaRef>
                      </c:ext>
                    </c:extLst>
                    <c:strCache>
                      <c:ptCount val="1"/>
                      <c:pt idx="0">
                        <c:v>年份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1000" b="0" i="0" u="none" strike="noStrike" kern="1200" cap="none" spc="0" normalizeH="0" baseline="0">
                          <a:solidFill>
                            <a:schemeClr val="tx1"/>
                          </a:solidFill>
                          <a:uFill>
                            <a:solidFill>
                              <a:schemeClr val="tx1"/>
                            </a:solidFill>
                          </a:uFill>
                          <a:latin typeface="Times New Roman" panose="02020603050405020304" charset="0"/>
                          <a:ea typeface="宋体" panose="02010600030101010101" pitchFamily="7" charset="-122"/>
                          <a:cs typeface="+mn-cs"/>
                        </a:defRPr>
                      </a:pPr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TOPSIS结果!$A$2:$A$8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TOPSIS结果!$A$2:$A$8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3014512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050" b="0" i="0" u="none" strike="noStrike" kern="1200" cap="none" spc="0" normalizeH="0" baseline="0">
                <a:solidFill>
                  <a:schemeClr val="tx1"/>
                </a:solidFill>
                <a:uFill>
                  <a:solidFill>
                    <a:schemeClr val="tx1"/>
                  </a:solidFill>
                </a:uFill>
                <a:latin typeface="Times New Roman" panose="02020603050405020304" charset="0"/>
                <a:ea typeface="宋体" panose="02010600030101010101" pitchFamily="7" charset="-122"/>
                <a:cs typeface="+mn-cs"/>
              </a:defRPr>
            </a:pPr>
          </a:p>
        </c:txPr>
        <c:crossAx val="197421476"/>
        <c:crosses val="autoZero"/>
        <c:auto val="1"/>
        <c:lblAlgn val="ctr"/>
        <c:lblOffset val="100"/>
        <c:noMultiLvlLbl val="0"/>
      </c:catAx>
      <c:valAx>
        <c:axId val="1974214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050" b="0" i="0" u="none" strike="noStrike" kern="1200" cap="none" spc="0" normalizeH="0" baseline="0">
                <a:solidFill>
                  <a:schemeClr val="tx1"/>
                </a:solidFill>
                <a:uFill>
                  <a:solidFill>
                    <a:schemeClr val="tx1"/>
                  </a:solidFill>
                </a:uFill>
                <a:latin typeface="Times New Roman" panose="02020603050405020304" charset="0"/>
                <a:ea typeface="宋体" panose="02010600030101010101" pitchFamily="7" charset="-122"/>
                <a:cs typeface="+mn-cs"/>
              </a:defRPr>
            </a:pPr>
          </a:p>
        </c:txPr>
        <c:crossAx val="83014512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 u="none" strike="noStrike" kern="1200" cap="none" spc="0" normalizeH="0">
          <a:solidFill>
            <a:schemeClr val="tx1"/>
          </a:solidFill>
          <a:uFill>
            <a:solidFill>
              <a:schemeClr val="tx1"/>
            </a:solidFill>
          </a:uFill>
          <a:latin typeface="Times New Roman" panose="02020603050405020304" charset="0"/>
          <a:ea typeface="宋体" panose="02010600030101010101" pitchFamily="7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648157894736842"/>
          <c:y val="0.0532407407407407"/>
          <c:w val="0.906236842105263"/>
          <c:h val="0.83712962962963"/>
        </c:manualLayout>
      </c:layout>
      <c:lineChart>
        <c:grouping val="standard"/>
        <c:varyColors val="0"/>
        <c:ser>
          <c:idx val="1"/>
          <c:order val="1"/>
          <c:tx>
            <c:strRef>
              <c:f>各维度综合得分!$B$1</c:f>
              <c:strCache>
                <c:ptCount val="1"/>
                <c:pt idx="0">
                  <c:v>偿债能力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0.736</a:t>
                    </a:r>
                    <a:r>
                      <a:rPr lang="en-US" altLang="zh-CN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4</a:t>
                    </a:r>
                    <a:endParaRPr lang="en-US" altLang="zh-CN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0.0118421052631579"/>
                  <c:y val="0.111111111111111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0.469</a:t>
                    </a:r>
                    <a:r>
                      <a:rPr lang="en-US" altLang="zh-CN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9</a:t>
                    </a:r>
                    <a:endParaRPr lang="en-US" altLang="zh-CN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0.976</a:t>
                    </a:r>
                    <a:r>
                      <a:rPr lang="en-US" altLang="zh-CN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8</a:t>
                    </a:r>
                    <a:endParaRPr lang="en-US" altLang="zh-CN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layout>
                <c:manualLayout>
                  <c:x val="0.0210526315789474"/>
                  <c:y val="0.118055555555556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0.169</a:t>
                    </a:r>
                    <a:r>
                      <a:rPr lang="en-US" altLang="zh-CN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6</a:t>
                    </a:r>
                    <a:endParaRPr lang="en-US" altLang="zh-CN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0.3408</a:t>
                    </a:r>
                    <a:endParaRPr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0.0184210526315789"/>
                  <c:y val="0.00925925925925926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0.161</a:t>
                    </a:r>
                    <a:r>
                      <a:rPr lang="en-US" altLang="zh-CN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7</a:t>
                    </a:r>
                    <a:endParaRPr lang="en-US" altLang="zh-CN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6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0.0497</a:t>
                    </a:r>
                    <a:endParaRPr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各维度综合得分!$A$2:$A$8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各维度综合得分!$B$2:$B$8</c:f>
              <c:numCache>
                <c:formatCode>General</c:formatCode>
                <c:ptCount val="7"/>
                <c:pt idx="0">
                  <c:v>0.736355642527849</c:v>
                </c:pt>
                <c:pt idx="1">
                  <c:v>0.469877851005454</c:v>
                </c:pt>
                <c:pt idx="2">
                  <c:v>0.976780257928847</c:v>
                </c:pt>
                <c:pt idx="3">
                  <c:v>0.169553603636828</c:v>
                </c:pt>
                <c:pt idx="4">
                  <c:v>0.34083688966275</c:v>
                </c:pt>
                <c:pt idx="5">
                  <c:v>0.161679113915668</c:v>
                </c:pt>
                <c:pt idx="6">
                  <c:v>0.0497377528690686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52554481"/>
        <c:axId val="55055545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各维度综合得分!$A$1</c15:sqref>
                        </c15:formulaRef>
                      </c:ext>
                    </c:extLst>
                    <c:strCache>
                      <c:ptCount val="1"/>
                      <c:pt idx="0">
                        <c:v>年份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1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各维度综合得分!$A$2:$A$8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各维度综合得分!$A$2:$A$8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85255448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550555450"/>
        <c:crosses val="autoZero"/>
        <c:auto val="1"/>
        <c:lblAlgn val="ctr"/>
        <c:lblOffset val="100"/>
        <c:noMultiLvlLbl val="0"/>
      </c:catAx>
      <c:valAx>
        <c:axId val="55055545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85255448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838506049447659"/>
          <c:y val="0.0834109972041007"/>
          <c:w val="0.888269331930563"/>
          <c:h val="0.761975768872321"/>
        </c:manualLayout>
      </c:layout>
      <c:lineChart>
        <c:grouping val="standard"/>
        <c:varyColors val="0"/>
        <c:ser>
          <c:idx val="1"/>
          <c:order val="1"/>
          <c:tx>
            <c:strRef>
              <c:f>各维度综合得分!$C$1</c:f>
              <c:strCache>
                <c:ptCount val="1"/>
                <c:pt idx="0">
                  <c:v>营运能力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0.00792284339884525"/>
                  <c:y val="0.106224416203702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0.559</a:t>
                    </a:r>
                    <a:r>
                      <a:rPr lang="en-US" altLang="zh-CN"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5</a:t>
                    </a:r>
                    <a:endParaRPr lang="en-US" altLang="zh-CN"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0.055472940867344"/>
                  <c:y val="0.0267586923246431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0.6127</a:t>
                    </a:r>
                    <a:endParaRPr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"/>
              <c:layout>
                <c:manualLayout>
                  <c:x val="-0.0507940299856404"/>
                  <c:y val="0.0801642955564721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0.0413</a:t>
                    </a:r>
                    <a:endParaRPr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>
                <c:manualLayout>
                  <c:x val="-0.00105207785376118"/>
                  <c:y val="0.0181733457595527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0.024</a:t>
                    </a:r>
                    <a:r>
                      <a:rPr lang="en-US" altLang="zh-CN"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2</a:t>
                    </a:r>
                    <a:endParaRPr lang="en-US" altLang="zh-CN"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"/>
              <c:layout>
                <c:manualLayout>
                  <c:x val="-0.00118358758548133"/>
                  <c:y val="0.0244641192917055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0.031</a:t>
                    </a:r>
                    <a:r>
                      <a:rPr lang="en-US" altLang="zh-CN"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2</a:t>
                    </a:r>
                    <a:endParaRPr lang="en-US" altLang="zh-CN"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6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0.1262</a:t>
                    </a:r>
                    <a:endParaRPr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各维度综合得分!$A$2:$A$8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各维度综合得分!$C$2:$C$8</c:f>
              <c:numCache>
                <c:formatCode>General</c:formatCode>
                <c:ptCount val="7"/>
                <c:pt idx="0">
                  <c:v>0.559454635928436</c:v>
                </c:pt>
                <c:pt idx="1">
                  <c:v>1</c:v>
                </c:pt>
                <c:pt idx="2">
                  <c:v>0.612714641513026</c:v>
                </c:pt>
                <c:pt idx="3">
                  <c:v>0.0413390296655047</c:v>
                </c:pt>
                <c:pt idx="4">
                  <c:v>0.0241802005831041</c:v>
                </c:pt>
                <c:pt idx="5">
                  <c:v>0.0311928776978616</c:v>
                </c:pt>
                <c:pt idx="6">
                  <c:v>0.126226053238049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60068536"/>
        <c:axId val="94563821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各维度综合得分!$A$1</c15:sqref>
                        </c15:formulaRef>
                      </c:ext>
                    </c:extLst>
                    <c:strCache>
                      <c:ptCount val="1"/>
                      <c:pt idx="0">
                        <c:v>年份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1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各维度综合得分!$A$2:$A$8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各维度综合得分!$A$2:$A$8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600685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945638214"/>
        <c:crosses val="autoZero"/>
        <c:auto val="1"/>
        <c:lblAlgn val="ctr"/>
        <c:lblOffset val="100"/>
        <c:noMultiLvlLbl val="0"/>
      </c:catAx>
      <c:valAx>
        <c:axId val="94563821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960068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839821146764861"/>
          <c:y val="0.0472972972972973"/>
          <c:w val="0.888269331930563"/>
          <c:h val="0.836067101584343"/>
        </c:manualLayout>
      </c:layout>
      <c:lineChart>
        <c:grouping val="standard"/>
        <c:varyColors val="0"/>
        <c:ser>
          <c:idx val="1"/>
          <c:order val="1"/>
          <c:tx>
            <c:strRef>
              <c:f>各维度综合得分!$D$1</c:f>
              <c:strCache>
                <c:ptCount val="1"/>
                <c:pt idx="0">
                  <c:v>盈利能力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0.0103892688058916"/>
                  <c:y val="0.107409133271202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0.4744</a:t>
                    </a:r>
                    <a:endParaRPr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0.879</a:t>
                    </a:r>
                    <a:r>
                      <a:rPr lang="en-US" altLang="zh-CN"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4</a:t>
                    </a:r>
                    <a:endParaRPr lang="en-US" altLang="zh-CN"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2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0.7491</a:t>
                    </a:r>
                    <a:endParaRPr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3"/>
              <c:layout>
                <c:manualLayout>
                  <c:x val="-0.00565491846396633"/>
                  <c:y val="0.107409133271202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0.262</a:t>
                    </a:r>
                    <a:r>
                      <a:rPr lang="en-US" altLang="zh-CN"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3</a:t>
                    </a:r>
                    <a:endParaRPr lang="en-US" altLang="zh-CN"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0.355</a:t>
                    </a:r>
                    <a:r>
                      <a:rPr lang="en-US" altLang="zh-CN"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3</a:t>
                    </a:r>
                    <a:endParaRPr lang="en-US" altLang="zh-CN"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0.0640452393477117"/>
                  <c:y val="0.0687325256290773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0.003</a:t>
                    </a:r>
                    <a:r>
                      <a:rPr lang="en-US" altLang="zh-CN"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8</a:t>
                    </a:r>
                    <a:endParaRPr lang="en-US" altLang="zh-CN"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6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0.0815</a:t>
                    </a:r>
                    <a:endParaRPr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各维度综合得分!$A$2:$A$8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各维度综合得分!$D$2:$D$8</c:f>
              <c:numCache>
                <c:formatCode>General</c:formatCode>
                <c:ptCount val="7"/>
                <c:pt idx="0">
                  <c:v>0.474405450989202</c:v>
                </c:pt>
                <c:pt idx="1">
                  <c:v>0.8793595932421</c:v>
                </c:pt>
                <c:pt idx="2">
                  <c:v>0.749108826731102</c:v>
                </c:pt>
                <c:pt idx="3">
                  <c:v>0.262288568738344</c:v>
                </c:pt>
                <c:pt idx="4">
                  <c:v>0.355288875246377</c:v>
                </c:pt>
                <c:pt idx="5">
                  <c:v>0.00381799362008548</c:v>
                </c:pt>
                <c:pt idx="6">
                  <c:v>0.081529665981736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07287040"/>
        <c:axId val="6148746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各维度综合得分!$A$1</c15:sqref>
                        </c15:formulaRef>
                      </c:ext>
                    </c:extLst>
                    <c:strCache>
                      <c:ptCount val="1"/>
                      <c:pt idx="0">
                        <c:v>年份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1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各维度综合得分!$A$2:$A$8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各维度综合得分!$A$2:$A$8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9072870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614874667"/>
        <c:crosses val="autoZero"/>
        <c:auto val="1"/>
        <c:lblAlgn val="ctr"/>
        <c:lblOffset val="100"/>
        <c:noMultiLvlLbl val="0"/>
      </c:catAx>
      <c:valAx>
        <c:axId val="6148746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907287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0839389152185361"/>
          <c:y val="0.0482322641067666"/>
          <c:w val="0.888151658767772"/>
          <c:h val="0.835261062982908"/>
        </c:manualLayout>
      </c:layout>
      <c:lineChart>
        <c:grouping val="standard"/>
        <c:varyColors val="0"/>
        <c:ser>
          <c:idx val="1"/>
          <c:order val="1"/>
          <c:tx>
            <c:strRef>
              <c:f>各维度综合得分!$E$1</c:f>
              <c:strCache>
                <c:ptCount val="1"/>
                <c:pt idx="0">
                  <c:v>发展能力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0.00605581885202738"/>
                  <c:y val="0.118941699836104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0.6997</a:t>
                    </a:r>
                    <a:endParaRPr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0.0081621906266456"/>
                  <c:y val="0.108171388433622"/>
                </c:manualLayout>
              </c:layout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0.105</a:t>
                    </a:r>
                    <a:r>
                      <a:rPr lang="en-US" altLang="zh-CN"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2</a:t>
                    </a:r>
                    <a:endParaRPr lang="en-US" altLang="zh-CN"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3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0.2495</a:t>
                    </a:r>
                    <a:endParaRPr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4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0.144</a:t>
                    </a:r>
                    <a:r>
                      <a:rPr lang="en-US" altLang="zh-CN"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3</a:t>
                    </a:r>
                    <a:endParaRPr lang="en-US" altLang="zh-CN"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5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0.14</a:t>
                    </a:r>
                    <a:r>
                      <a:rPr lang="en-US" altLang="zh-CN"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80</a:t>
                    </a:r>
                    <a:endParaRPr lang="en-US" altLang="zh-CN"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6"/>
              <c:layout/>
              <c:tx>
                <c:rich>
                  <a:bodyPr rot="0" spcFirstLastPara="0" vertOverflow="ellipsis" vert="horz" wrap="square" lIns="38100" tIns="19050" rIns="38100" bIns="19050" anchor="ctr" anchorCtr="1"/>
                  <a:lstStyle/>
                  <a:p>
                    <a:pPr defTabSz="914400">
                      <a:defRPr lang="zh-CN" sz="105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defRPr>
                    </a:pPr>
                    <a:r>
                      <a:rPr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0.303</a:t>
                    </a:r>
                    <a:r>
                      <a:rPr lang="en-US" altLang="zh-CN" sz="1050">
                        <a:latin typeface="Times New Roman" panose="02020603050405020304" charset="0"/>
                        <a:ea typeface="Times New Roman" panose="02020603050405020304" charset="0"/>
                        <a:cs typeface="Times New Roman" panose="02020603050405020304" charset="0"/>
                        <a:sym typeface="Times New Roman" panose="02020603050405020304" charset="0"/>
                      </a:rPr>
                      <a:t>9</a:t>
                    </a:r>
                    <a:endParaRPr lang="en-US" altLang="zh-CN" sz="1050">
                      <a:latin typeface="Times New Roman" panose="02020603050405020304" charset="0"/>
                      <a:ea typeface="Times New Roman" panose="02020603050405020304" charset="0"/>
                      <a:cs typeface="Times New Roman" panose="02020603050405020304" charset="0"/>
                      <a:sym typeface="Times New Roman" panose="02020603050405020304" charset="0"/>
                    </a:endParaRP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imes New Roman" panose="02020603050405020304" charset="0"/>
                    <a:ea typeface="Times New Roman" panose="02020603050405020304" charset="0"/>
                    <a:cs typeface="Times New Roman" panose="02020603050405020304" charset="0"/>
                    <a:sym typeface="Times New Roman" panose="02020603050405020304" charset="0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各维度综合得分!$A$2:$A$8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各维度综合得分!$E$2:$E$8</c:f>
              <c:numCache>
                <c:formatCode>General</c:formatCode>
                <c:ptCount val="7"/>
                <c:pt idx="0">
                  <c:v>0.699734166779002</c:v>
                </c:pt>
                <c:pt idx="1">
                  <c:v>1</c:v>
                </c:pt>
                <c:pt idx="2">
                  <c:v>0.105181404604118</c:v>
                </c:pt>
                <c:pt idx="3">
                  <c:v>0.249546026406166</c:v>
                </c:pt>
                <c:pt idx="4">
                  <c:v>0.144296745638277</c:v>
                </c:pt>
                <c:pt idx="5">
                  <c:v>0.147995265658561</c:v>
                </c:pt>
                <c:pt idx="6">
                  <c:v>0.303868992172187</c:v>
                </c:pt>
              </c:numCache>
            </c:numRef>
          </c:val>
          <c:smooth val="0"/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33933863"/>
        <c:axId val="192006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各维度综合得分!$A$1</c15:sqref>
                        </c15:formulaRef>
                      </c:ext>
                    </c:extLst>
                    <c:strCache>
                      <c:ptCount val="1"/>
                      <c:pt idx="0">
                        <c:v>年份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1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各维度综合得分!$A$2:$A$8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各维度综合得分!$A$2:$A$8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53393386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192006456"/>
        <c:crosses val="autoZero"/>
        <c:auto val="1"/>
        <c:lblAlgn val="ctr"/>
        <c:lblOffset val="100"/>
        <c:noMultiLvlLbl val="0"/>
      </c:catAx>
      <c:valAx>
        <c:axId val="192006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charset="0"/>
                <a:ea typeface="Times New Roman" panose="02020603050405020304" charset="0"/>
                <a:cs typeface="Times New Roman" panose="02020603050405020304" charset="0"/>
                <a:sym typeface="Times New Roman" panose="02020603050405020304" charset="0"/>
              </a:defRPr>
            </a:pPr>
          </a:p>
        </c:txPr>
        <c:crossAx val="533933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5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28575" cap="rnd">
        <a:solidFill>
          <a:schemeClr val="phClr"/>
        </a:solidFill>
        <a:round/>
      </a:ln>
      <a:effectLst/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dk1"/>
    </cs:fontRef>
    <cs:spPr>
      <a:ln w="9525">
        <a:solidFill>
          <a:schemeClr val="phClr"/>
        </a:solidFill>
      </a:ln>
      <a:effectLst/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chart" Target="../charts/chart5.xml"/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107950</xdr:colOff>
      <xdr:row>6</xdr:row>
      <xdr:rowOff>107950</xdr:rowOff>
    </xdr:from>
    <xdr:to>
      <xdr:col>12</xdr:col>
      <xdr:colOff>533400</xdr:colOff>
      <xdr:row>20</xdr:row>
      <xdr:rowOff>0</xdr:rowOff>
    </xdr:to>
    <xdr:graphicFrame>
      <xdr:nvGraphicFramePr>
        <xdr:cNvPr id="2" name="图表 1"/>
        <xdr:cNvGraphicFramePr/>
      </xdr:nvGraphicFramePr>
      <xdr:xfrm>
        <a:off x="3289300" y="1174750"/>
        <a:ext cx="4826000" cy="23812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13</xdr:col>
      <xdr:colOff>353060</xdr:colOff>
      <xdr:row>8</xdr:row>
      <xdr:rowOff>135255</xdr:rowOff>
    </xdr:from>
    <xdr:to>
      <xdr:col>21</xdr:col>
      <xdr:colOff>149860</xdr:colOff>
      <xdr:row>24</xdr:row>
      <xdr:rowOff>33655</xdr:rowOff>
    </xdr:to>
    <xdr:graphicFrame>
      <xdr:nvGraphicFramePr>
        <xdr:cNvPr id="4" name="图表 3"/>
        <xdr:cNvGraphicFramePr/>
      </xdr:nvGraphicFramePr>
      <xdr:xfrm>
        <a:off x="9592310" y="155765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483235</xdr:colOff>
      <xdr:row>15</xdr:row>
      <xdr:rowOff>78105</xdr:rowOff>
    </xdr:from>
    <xdr:to>
      <xdr:col>17</xdr:col>
      <xdr:colOff>544830</xdr:colOff>
      <xdr:row>29</xdr:row>
      <xdr:rowOff>99060</xdr:rowOff>
    </xdr:to>
    <xdr:graphicFrame>
      <xdr:nvGraphicFramePr>
        <xdr:cNvPr id="5" name="图表 4"/>
        <xdr:cNvGraphicFramePr/>
      </xdr:nvGraphicFramePr>
      <xdr:xfrm>
        <a:off x="7836535" y="2745105"/>
        <a:ext cx="4462145" cy="25101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437515</xdr:colOff>
      <xdr:row>18</xdr:row>
      <xdr:rowOff>146685</xdr:rowOff>
    </xdr:from>
    <xdr:to>
      <xdr:col>20</xdr:col>
      <xdr:colOff>234315</xdr:colOff>
      <xdr:row>34</xdr:row>
      <xdr:rowOff>45085</xdr:rowOff>
    </xdr:to>
    <xdr:graphicFrame>
      <xdr:nvGraphicFramePr>
        <xdr:cNvPr id="6" name="图表 5"/>
        <xdr:cNvGraphicFramePr/>
      </xdr:nvGraphicFramePr>
      <xdr:xfrm>
        <a:off x="9048115" y="3347085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367665</xdr:colOff>
      <xdr:row>10</xdr:row>
      <xdr:rowOff>8255</xdr:rowOff>
    </xdr:from>
    <xdr:to>
      <xdr:col>16</xdr:col>
      <xdr:colOff>321310</xdr:colOff>
      <xdr:row>22</xdr:row>
      <xdr:rowOff>128905</xdr:rowOff>
    </xdr:to>
    <xdr:graphicFrame>
      <xdr:nvGraphicFramePr>
        <xdr:cNvPr id="7" name="图表 6"/>
        <xdr:cNvGraphicFramePr/>
      </xdr:nvGraphicFramePr>
      <xdr:xfrm>
        <a:off x="7720965" y="1786255"/>
        <a:ext cx="3725545" cy="22542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topLeftCell="B1" workbookViewId="0">
      <selection activeCell="G6" sqref="G6"/>
    </sheetView>
  </sheetViews>
  <sheetFormatPr defaultColWidth="9" defaultRowHeight="14" outlineLevelRow="7"/>
  <cols>
    <col min="2" max="3" width="12.8181818181818" customWidth="1"/>
    <col min="4" max="4" width="14.6363636363636" customWidth="1"/>
    <col min="5" max="5" width="16" customWidth="1"/>
    <col min="6" max="6" width="21.8181818181818" customWidth="1"/>
    <col min="7" max="7" width="17.0909090909091" customWidth="1"/>
    <col min="8" max="8" width="12.8181818181818" customWidth="1"/>
    <col min="9" max="9" width="18.3636363636364" customWidth="1"/>
    <col min="10" max="10" width="20.6363636363636" customWidth="1"/>
    <col min="11" max="11" width="18.3636363636364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1">
        <v>2019</v>
      </c>
      <c r="B2" s="5">
        <v>2.27062873998491</v>
      </c>
      <c r="C2" s="5">
        <v>1.77864183348098</v>
      </c>
      <c r="D2" s="5">
        <v>-4.04</v>
      </c>
      <c r="E2" s="5">
        <v>29.520096754525</v>
      </c>
      <c r="F2" s="3">
        <v>2.17</v>
      </c>
      <c r="G2" s="5">
        <v>1.50086777845912</v>
      </c>
      <c r="H2" s="5">
        <v>46.4483351080438</v>
      </c>
      <c r="I2" s="5">
        <v>-2.7690166267817</v>
      </c>
      <c r="J2" s="5">
        <v>107.753287097772</v>
      </c>
      <c r="K2" s="5">
        <v>21.2386335381085</v>
      </c>
    </row>
    <row r="3" spans="1:11">
      <c r="A3" s="1">
        <v>2020</v>
      </c>
      <c r="B3" s="5">
        <v>1.76595125894154</v>
      </c>
      <c r="C3" s="5">
        <v>1.45682779613263</v>
      </c>
      <c r="D3" s="5">
        <v>16.3647426270444</v>
      </c>
      <c r="E3" s="5">
        <v>45.1883534811828</v>
      </c>
      <c r="F3" s="3">
        <v>2.72</v>
      </c>
      <c r="G3" s="5">
        <v>2.82470069642499</v>
      </c>
      <c r="H3" s="5">
        <v>37.3675637477026</v>
      </c>
      <c r="I3" s="5">
        <v>10.3947229752733</v>
      </c>
      <c r="J3" s="5">
        <v>110.824069230961</v>
      </c>
      <c r="K3" s="5">
        <v>52.977455800743</v>
      </c>
    </row>
    <row r="4" spans="1:11">
      <c r="A4" s="1">
        <v>2021</v>
      </c>
      <c r="B4" s="5">
        <v>2.35582067052163</v>
      </c>
      <c r="C4" s="5">
        <v>1.86593297549763</v>
      </c>
      <c r="D4" s="5">
        <v>30.2201579340343</v>
      </c>
      <c r="E4" s="5">
        <v>31.4068228483403</v>
      </c>
      <c r="F4" s="3">
        <v>1.56</v>
      </c>
      <c r="G4" s="5">
        <v>2.23188486891927</v>
      </c>
      <c r="H4" s="5">
        <v>37.7053170771223</v>
      </c>
      <c r="I4" s="5">
        <v>7.02015463394425</v>
      </c>
      <c r="J4" s="5">
        <v>-9.06718073516221</v>
      </c>
      <c r="K4" s="5">
        <v>-15.1169641698902</v>
      </c>
    </row>
    <row r="5" spans="1:11">
      <c r="A5" s="1">
        <v>2022</v>
      </c>
      <c r="B5" s="5">
        <v>1.63991325874364</v>
      </c>
      <c r="C5" s="5">
        <v>1.1859914007239</v>
      </c>
      <c r="D5" s="5">
        <v>-16.0901505768008</v>
      </c>
      <c r="E5" s="5">
        <v>44.3508394860441</v>
      </c>
      <c r="F5" s="3">
        <v>0.53</v>
      </c>
      <c r="G5" s="5">
        <v>0.782179259059266</v>
      </c>
      <c r="H5" s="5">
        <v>40.140456058168</v>
      </c>
      <c r="I5" s="5">
        <v>-5.98272227684464</v>
      </c>
      <c r="J5" s="5">
        <v>-56.6206609997908</v>
      </c>
      <c r="K5" s="5">
        <v>11.871133074371</v>
      </c>
    </row>
    <row r="6" spans="1:11">
      <c r="A6" s="1">
        <v>2023</v>
      </c>
      <c r="B6" s="5">
        <v>1.81109902058914</v>
      </c>
      <c r="C6" s="5">
        <v>1.15419358651468</v>
      </c>
      <c r="D6" s="5">
        <v>-5.59367583501232</v>
      </c>
      <c r="E6" s="5">
        <v>38.5071206691113</v>
      </c>
      <c r="F6" s="3">
        <v>0.61</v>
      </c>
      <c r="G6" s="5">
        <v>0.645015292484808</v>
      </c>
      <c r="H6" s="5">
        <v>39.2438475195059</v>
      </c>
      <c r="I6" s="5">
        <v>-3.35515690418711</v>
      </c>
      <c r="J6" s="5">
        <v>1.42770374795281</v>
      </c>
      <c r="K6" s="5">
        <v>-13.3971630897131</v>
      </c>
    </row>
    <row r="7" spans="1:11">
      <c r="A7" s="1">
        <v>2024</v>
      </c>
      <c r="B7" s="5">
        <v>1.58948865155138</v>
      </c>
      <c r="C7" s="5">
        <v>0.980668712866036</v>
      </c>
      <c r="D7" s="5">
        <v>-12.2197960814459</v>
      </c>
      <c r="E7" s="5">
        <v>41.5960283909105</v>
      </c>
      <c r="F7" s="3">
        <v>0.68</v>
      </c>
      <c r="G7" s="5">
        <v>0.614396446148571</v>
      </c>
      <c r="H7" s="5">
        <v>26.4881898280549</v>
      </c>
      <c r="I7" s="5">
        <v>-7.91364128521096</v>
      </c>
      <c r="J7" s="5">
        <v>-20.8351223330617</v>
      </c>
      <c r="K7" s="5">
        <v>-7.67169510145759</v>
      </c>
    </row>
    <row r="8" spans="1:11">
      <c r="A8" s="1">
        <v>2025</v>
      </c>
      <c r="B8" s="5">
        <v>1.42405169758605</v>
      </c>
      <c r="C8" s="5">
        <v>0.912139335762206</v>
      </c>
      <c r="D8" s="5">
        <v>-8.35414969453788</v>
      </c>
      <c r="E8" s="5">
        <v>48.0564345201317</v>
      </c>
      <c r="F8" s="3">
        <v>0.94</v>
      </c>
      <c r="G8" s="5">
        <v>0.780663298044017</v>
      </c>
      <c r="H8" s="5">
        <v>32.6250412840589</v>
      </c>
      <c r="I8" s="5">
        <v>-8.00926456348069</v>
      </c>
      <c r="J8" s="5">
        <v>29.4432304090598</v>
      </c>
      <c r="K8" s="5">
        <v>-2.84119769598423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topLeftCell="F1" workbookViewId="0">
      <selection activeCell="K13" sqref="K13"/>
    </sheetView>
  </sheetViews>
  <sheetFormatPr defaultColWidth="9" defaultRowHeight="14" outlineLevelRow="7"/>
  <cols>
    <col min="2" max="2" width="19.6363636363636" customWidth="1"/>
    <col min="3" max="3" width="12.8181818181818" customWidth="1"/>
    <col min="4" max="4" width="14.6363636363636" customWidth="1"/>
    <col min="5" max="5" width="16" customWidth="1"/>
    <col min="6" max="6" width="21.8181818181818" customWidth="1"/>
    <col min="7" max="7" width="17.0909090909091" customWidth="1"/>
    <col min="8" max="8" width="12.8181818181818" customWidth="1"/>
    <col min="9" max="9" width="18.3636363636364" customWidth="1"/>
    <col min="10" max="10" width="20.6363636363636" customWidth="1"/>
    <col min="11" max="11" width="18.3636363636364" customWidth="1"/>
  </cols>
  <sheetData>
    <row r="1" spans="1:1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</row>
    <row r="2" spans="1:11">
      <c r="A2" s="6">
        <v>2019</v>
      </c>
      <c r="B2" s="7" t="s">
        <v>11</v>
      </c>
      <c r="C2" s="3">
        <v>0.908480054405831</v>
      </c>
      <c r="D2" s="3">
        <v>0.260204497967908</v>
      </c>
      <c r="E2" s="3">
        <v>1</v>
      </c>
      <c r="F2" s="3">
        <v>0.748858447488584</v>
      </c>
      <c r="G2" s="3">
        <v>0.401063035643029</v>
      </c>
      <c r="H2" s="3">
        <v>1</v>
      </c>
      <c r="I2" s="3">
        <v>0.284734377572491</v>
      </c>
      <c r="J2" s="3">
        <v>0.981660921015805</v>
      </c>
      <c r="K2" s="3">
        <v>0.533899807409735</v>
      </c>
    </row>
    <row r="3" spans="1:11">
      <c r="A3" s="6">
        <v>2020</v>
      </c>
      <c r="B3" s="3">
        <v>0.366935980147869</v>
      </c>
      <c r="C3" s="3">
        <v>0.571075794258302</v>
      </c>
      <c r="D3" s="3">
        <v>0.700813582277298</v>
      </c>
      <c r="E3" s="3">
        <v>0.154727491223778</v>
      </c>
      <c r="F3" s="3">
        <v>1</v>
      </c>
      <c r="G3" s="3">
        <v>1</v>
      </c>
      <c r="H3" s="3">
        <v>0.545054846397077</v>
      </c>
      <c r="I3" s="3">
        <v>1</v>
      </c>
      <c r="J3" s="3">
        <v>1</v>
      </c>
      <c r="K3" s="3">
        <v>1</v>
      </c>
    </row>
    <row r="4" spans="1:11">
      <c r="A4" s="6">
        <v>2021</v>
      </c>
      <c r="B4" s="3">
        <v>1</v>
      </c>
      <c r="C4" s="3">
        <v>1</v>
      </c>
      <c r="D4" s="3">
        <v>1</v>
      </c>
      <c r="E4" s="3">
        <v>0.898214732722662</v>
      </c>
      <c r="F4" s="3">
        <v>0.470319634703196</v>
      </c>
      <c r="G4" s="3">
        <v>0.731794467919255</v>
      </c>
      <c r="H4" s="3">
        <v>0.561976232723775</v>
      </c>
      <c r="I4" s="3">
        <v>0.816639283512712</v>
      </c>
      <c r="J4" s="3">
        <v>0.283995084223291</v>
      </c>
      <c r="K4" s="3">
        <v>0</v>
      </c>
    </row>
    <row r="5" spans="1:11">
      <c r="A5" s="6">
        <v>2022</v>
      </c>
      <c r="B5" s="3">
        <v>0.231668543842481</v>
      </c>
      <c r="C5" s="3">
        <v>0.2871187786885</v>
      </c>
      <c r="D5" s="3">
        <v>0</v>
      </c>
      <c r="E5" s="3">
        <v>0.19990977079427</v>
      </c>
      <c r="F5" s="3">
        <v>0</v>
      </c>
      <c r="G5" s="3">
        <v>0.0759093744174415</v>
      </c>
      <c r="H5" s="3">
        <v>0.68397629569361</v>
      </c>
      <c r="I5" s="3">
        <v>0.110114304433682</v>
      </c>
      <c r="J5" s="3">
        <v>0</v>
      </c>
      <c r="K5" s="3">
        <v>0.396333462505448</v>
      </c>
    </row>
    <row r="6" spans="1:11">
      <c r="A6" s="6">
        <v>2023</v>
      </c>
      <c r="B6" s="3">
        <v>0.415389795373504</v>
      </c>
      <c r="C6" s="3">
        <v>0.25378052512451</v>
      </c>
      <c r="D6" s="3">
        <v>0.226655254074428</v>
      </c>
      <c r="E6" s="3">
        <v>0.515167233774662</v>
      </c>
      <c r="F6" s="3">
        <v>0.0365296803652968</v>
      </c>
      <c r="G6" s="3">
        <v>0.0138527744912981</v>
      </c>
      <c r="H6" s="3">
        <v>0.639056355177896</v>
      </c>
      <c r="I6" s="3">
        <v>0.252885829741693</v>
      </c>
      <c r="J6" s="3">
        <v>0.346671792344545</v>
      </c>
      <c r="K6" s="3">
        <v>0.0252561234961513</v>
      </c>
    </row>
    <row r="7" spans="1:11">
      <c r="A7" s="6">
        <v>2024</v>
      </c>
      <c r="B7" s="3">
        <v>0.177551473348714</v>
      </c>
      <c r="C7" s="3">
        <v>0.0718492703755496</v>
      </c>
      <c r="D7" s="3">
        <v>0.0835743621627863</v>
      </c>
      <c r="E7" s="3">
        <v>0.348526565005099</v>
      </c>
      <c r="F7" s="3">
        <v>0.0684931506849315</v>
      </c>
      <c r="G7" s="3">
        <v>0</v>
      </c>
      <c r="H7" s="3">
        <v>0</v>
      </c>
      <c r="I7" s="3">
        <v>0.00519579129622709</v>
      </c>
      <c r="J7" s="3">
        <v>0.213715526415277</v>
      </c>
      <c r="K7" s="3">
        <v>0.109337432812314</v>
      </c>
    </row>
    <row r="8" spans="1:11">
      <c r="A8" s="6">
        <v>2025</v>
      </c>
      <c r="B8" s="3">
        <v>0</v>
      </c>
      <c r="C8" s="3">
        <v>0</v>
      </c>
      <c r="D8" s="3">
        <v>0.167047059953249</v>
      </c>
      <c r="E8" s="3">
        <v>0</v>
      </c>
      <c r="F8" s="3">
        <v>0.187214611872146</v>
      </c>
      <c r="G8" s="3">
        <v>0.0752235136292448</v>
      </c>
      <c r="H8" s="3">
        <v>0.307455249945326</v>
      </c>
      <c r="I8" s="3">
        <v>0</v>
      </c>
      <c r="J8" s="3">
        <v>0.513983875695866</v>
      </c>
      <c r="K8" s="3">
        <v>0.180275659579744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selection activeCell="G5" sqref="G5"/>
    </sheetView>
  </sheetViews>
  <sheetFormatPr defaultColWidth="9" defaultRowHeight="14" outlineLevelCol="2"/>
  <cols>
    <col min="1" max="1" width="21.8181818181818" customWidth="1"/>
    <col min="2" max="2" width="12.8181818181818" customWidth="1"/>
    <col min="3" max="3" width="14"/>
  </cols>
  <sheetData>
    <row r="1" spans="2:3">
      <c r="B1" s="1" t="s">
        <v>12</v>
      </c>
      <c r="C1" s="4" t="s">
        <v>13</v>
      </c>
    </row>
    <row r="2" spans="1:3">
      <c r="A2" s="1" t="s">
        <v>1</v>
      </c>
      <c r="B2" s="3">
        <v>0.0774951627117916</v>
      </c>
      <c r="C2" s="5">
        <f>B2*100</f>
        <v>7.74951627117916</v>
      </c>
    </row>
    <row r="3" spans="1:3">
      <c r="A3" s="1" t="s">
        <v>2</v>
      </c>
      <c r="B3" s="3">
        <v>0.0897520447713028</v>
      </c>
      <c r="C3" s="5">
        <f t="shared" ref="C3:C11" si="0">B3*100</f>
        <v>8.97520447713028</v>
      </c>
    </row>
    <row r="4" spans="1:3">
      <c r="A4" s="1" t="s">
        <v>3</v>
      </c>
      <c r="B4" s="3">
        <v>0.105029271357971</v>
      </c>
      <c r="C4" s="5">
        <f t="shared" si="0"/>
        <v>10.5029271357971</v>
      </c>
    </row>
    <row r="5" spans="1:3">
      <c r="A5" s="1" t="s">
        <v>4</v>
      </c>
      <c r="B5" s="3">
        <v>0.0804702774421679</v>
      </c>
      <c r="C5" s="5">
        <f t="shared" si="0"/>
        <v>8.04702774421679</v>
      </c>
    </row>
    <row r="6" spans="1:3">
      <c r="A6" s="1" t="s">
        <v>5</v>
      </c>
      <c r="B6" s="3">
        <v>0.125052157988745</v>
      </c>
      <c r="C6" s="5">
        <f t="shared" si="0"/>
        <v>12.5052157988745</v>
      </c>
    </row>
    <row r="7" spans="1:3">
      <c r="A7" s="1" t="s">
        <v>6</v>
      </c>
      <c r="B7" s="3">
        <v>0.149536688335817</v>
      </c>
      <c r="C7" s="5">
        <f t="shared" si="0"/>
        <v>14.9536688335817</v>
      </c>
    </row>
    <row r="8" spans="1:3">
      <c r="A8" s="1" t="s">
        <v>7</v>
      </c>
      <c r="B8" s="3">
        <v>0.047453981338564</v>
      </c>
      <c r="C8" s="5">
        <f t="shared" si="0"/>
        <v>4.7453981338564</v>
      </c>
    </row>
    <row r="9" spans="1:3">
      <c r="A9" s="1" t="s">
        <v>8</v>
      </c>
      <c r="B9" s="3">
        <v>0.131498986488109</v>
      </c>
      <c r="C9" s="5">
        <f t="shared" si="0"/>
        <v>13.1498986488109</v>
      </c>
    </row>
    <row r="10" spans="1:3">
      <c r="A10" s="1" t="s">
        <v>9</v>
      </c>
      <c r="B10" s="3">
        <v>0.0717436370608253</v>
      </c>
      <c r="C10" s="5">
        <f t="shared" si="0"/>
        <v>7.17436370608253</v>
      </c>
    </row>
    <row r="11" spans="1:3">
      <c r="A11" s="1" t="s">
        <v>10</v>
      </c>
      <c r="B11" s="3">
        <v>0.121967792504707</v>
      </c>
      <c r="C11" s="5">
        <f t="shared" si="0"/>
        <v>12.1967792504707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"/>
  <sheetViews>
    <sheetView workbookViewId="0">
      <selection activeCell="M23" sqref="M23"/>
    </sheetView>
  </sheetViews>
  <sheetFormatPr defaultColWidth="9" defaultRowHeight="14" outlineLevelRow="7" outlineLevelCol="2"/>
  <cols>
    <col min="2" max="2" width="12.8181818181818" customWidth="1"/>
    <col min="3" max="3" width="5.72727272727273" customWidth="1"/>
  </cols>
  <sheetData>
    <row r="1" spans="1:3">
      <c r="A1" s="1" t="s">
        <v>0</v>
      </c>
      <c r="B1" s="1" t="s">
        <v>14</v>
      </c>
      <c r="C1" s="1" t="s">
        <v>15</v>
      </c>
    </row>
    <row r="2" spans="1:3">
      <c r="A2" s="1">
        <v>2019</v>
      </c>
      <c r="B2" s="3">
        <v>0.559775957177062</v>
      </c>
      <c r="C2" s="3">
        <v>3</v>
      </c>
    </row>
    <row r="3" spans="1:3">
      <c r="A3" s="1">
        <v>2020</v>
      </c>
      <c r="B3" s="3">
        <v>0.74488979569569</v>
      </c>
      <c r="C3" s="3">
        <v>1</v>
      </c>
    </row>
    <row r="4" spans="1:3">
      <c r="A4" s="1">
        <v>2021</v>
      </c>
      <c r="B4" s="3">
        <v>0.606478997192508</v>
      </c>
      <c r="C4" s="3">
        <v>2</v>
      </c>
    </row>
    <row r="5" spans="1:3">
      <c r="A5" s="1">
        <v>2022</v>
      </c>
      <c r="B5" s="3">
        <v>0.197582877112551</v>
      </c>
      <c r="C5" s="3">
        <v>5</v>
      </c>
    </row>
    <row r="6" spans="1:3">
      <c r="A6" s="1">
        <v>2023</v>
      </c>
      <c r="B6" s="3">
        <v>0.22516564968513</v>
      </c>
      <c r="C6" s="3">
        <v>4</v>
      </c>
    </row>
    <row r="7" spans="1:3">
      <c r="A7" s="1">
        <v>2024</v>
      </c>
      <c r="B7" s="3">
        <v>0.115194287098762</v>
      </c>
      <c r="C7" s="3">
        <v>7</v>
      </c>
    </row>
    <row r="8" spans="1:3">
      <c r="A8" s="1">
        <v>2025</v>
      </c>
      <c r="B8" s="3">
        <v>0.157284683503641</v>
      </c>
      <c r="C8" s="3">
        <v>6</v>
      </c>
    </row>
  </sheetData>
  <pageMargins left="0.75" right="0.75" top="1" bottom="1" header="0.5" footer="0.5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workbookViewId="0">
      <selection activeCell="G12" sqref="G12"/>
    </sheetView>
  </sheetViews>
  <sheetFormatPr defaultColWidth="9" defaultRowHeight="14" outlineLevelRow="7"/>
  <cols>
    <col min="2" max="3" width="12.8181818181818" customWidth="1"/>
    <col min="4" max="4" width="14.6363636363636" customWidth="1"/>
    <col min="5" max="5" width="16" customWidth="1"/>
    <col min="6" max="6" width="21.8181818181818" customWidth="1"/>
    <col min="7" max="7" width="17.0909090909091" customWidth="1"/>
    <col min="8" max="8" width="12.8181818181818" customWidth="1"/>
    <col min="9" max="9" width="18.3636363636364" customWidth="1"/>
    <col min="10" max="10" width="20.6363636363636" customWidth="1"/>
    <col min="11" max="11" width="18.3636363636364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1">
        <v>2019</v>
      </c>
      <c r="B2" s="3">
        <v>0.070409755587883</v>
      </c>
      <c r="C2" s="3">
        <v>0.0815379425168678</v>
      </c>
      <c r="D2" s="3">
        <v>0.0273290888256361</v>
      </c>
      <c r="E2" s="3">
        <v>0.0804702774421679</v>
      </c>
      <c r="F2" s="3">
        <v>0.0936463648865487</v>
      </c>
      <c r="G2" s="3">
        <v>0.0599736381639681</v>
      </c>
      <c r="H2" s="3">
        <v>0.047453981338564</v>
      </c>
      <c r="I2" s="3">
        <v>0.0374422820691051</v>
      </c>
      <c r="J2" s="3">
        <v>0.0704279248341534</v>
      </c>
      <c r="K2" s="3">
        <v>0.0651185809284535</v>
      </c>
    </row>
    <row r="3" spans="1:11">
      <c r="A3" s="1">
        <v>2020</v>
      </c>
      <c r="B3" s="3">
        <v>0.0284357634863698</v>
      </c>
      <c r="C3" s="3">
        <v>0.0512552202540784</v>
      </c>
      <c r="D3" s="3">
        <v>0.0736059399043541</v>
      </c>
      <c r="E3" s="3">
        <v>0.012450964146708</v>
      </c>
      <c r="F3" s="3">
        <v>0.125052157988745</v>
      </c>
      <c r="G3" s="3">
        <v>0.149536688335817</v>
      </c>
      <c r="H3" s="3">
        <v>0.0258650225094208</v>
      </c>
      <c r="I3" s="3">
        <v>0.131498986488109</v>
      </c>
      <c r="J3" s="3">
        <v>0.0717436370608253</v>
      </c>
      <c r="K3" s="3">
        <v>0.121967792504707</v>
      </c>
    </row>
    <row r="4" spans="1:11">
      <c r="A4" s="1">
        <v>2021</v>
      </c>
      <c r="B4" s="3">
        <v>0.0774951627117916</v>
      </c>
      <c r="C4" s="3">
        <v>0.0897520447713028</v>
      </c>
      <c r="D4" s="3">
        <v>0.105029271357971</v>
      </c>
      <c r="E4" s="3">
        <v>0.0722795887448353</v>
      </c>
      <c r="F4" s="3">
        <v>0.0588144852641129</v>
      </c>
      <c r="G4" s="3">
        <v>0.109430121275116</v>
      </c>
      <c r="H4" s="3">
        <v>0.0266680096603905</v>
      </c>
      <c r="I4" s="3">
        <v>0.107387238108297</v>
      </c>
      <c r="J4" s="3">
        <v>0.0203748402495743</v>
      </c>
      <c r="K4" s="3">
        <v>0</v>
      </c>
    </row>
    <row r="5" spans="1:11">
      <c r="A5" s="1">
        <v>2022</v>
      </c>
      <c r="B5" s="3">
        <v>0.0179531915002769</v>
      </c>
      <c r="C5" s="3">
        <v>0.025769497479532</v>
      </c>
      <c r="D5" s="3">
        <v>0</v>
      </c>
      <c r="E5" s="3">
        <v>0.0160867947192151</v>
      </c>
      <c r="F5" s="3">
        <v>0</v>
      </c>
      <c r="G5" s="3">
        <v>0.0113512364640277</v>
      </c>
      <c r="H5" s="3">
        <v>0.0324573983718647</v>
      </c>
      <c r="I5" s="3">
        <v>0.0144799194308723</v>
      </c>
      <c r="J5" s="3">
        <v>0</v>
      </c>
      <c r="K5" s="3">
        <v>0.0483399175175365</v>
      </c>
    </row>
    <row r="6" spans="1:11">
      <c r="A6" s="1">
        <v>2023</v>
      </c>
      <c r="B6" s="3">
        <v>0.0321906997812875</v>
      </c>
      <c r="C6" s="3">
        <v>0.0227773210530598</v>
      </c>
      <c r="D6" s="3">
        <v>0.023805436184893</v>
      </c>
      <c r="E6" s="3">
        <v>0.0414556502309612</v>
      </c>
      <c r="F6" s="3">
        <v>0.00456811536031944</v>
      </c>
      <c r="G6" s="3">
        <v>0.0020714980216916</v>
      </c>
      <c r="H6" s="3">
        <v>0.0303257683529026</v>
      </c>
      <c r="I6" s="3">
        <v>0.0332542303082371</v>
      </c>
      <c r="J6" s="3">
        <v>0.0248714952491929</v>
      </c>
      <c r="K6" s="3">
        <v>0.00308043363005182</v>
      </c>
    </row>
    <row r="7" spans="1:11">
      <c r="A7" s="1">
        <v>2024</v>
      </c>
      <c r="B7" s="3">
        <v>0.0137593803168769</v>
      </c>
      <c r="C7" s="3">
        <v>0.00644861893153177</v>
      </c>
      <c r="D7" s="3">
        <v>0.00877775436216463</v>
      </c>
      <c r="E7" s="3">
        <v>0.0280460293819261</v>
      </c>
      <c r="F7" s="3">
        <v>0.00856521630059896</v>
      </c>
      <c r="G7" s="3">
        <v>0</v>
      </c>
      <c r="H7" s="3">
        <v>0</v>
      </c>
      <c r="I7" s="3">
        <v>0.0006832412894576</v>
      </c>
      <c r="J7" s="3">
        <v>0.0153327291614008</v>
      </c>
      <c r="K7" s="3">
        <v>0.0133356453182497</v>
      </c>
    </row>
    <row r="8" spans="1:11">
      <c r="A8" s="1">
        <v>2025</v>
      </c>
      <c r="B8" s="3">
        <v>0</v>
      </c>
      <c r="C8" s="3">
        <v>0</v>
      </c>
      <c r="D8" s="3">
        <v>0.017544830989381</v>
      </c>
      <c r="E8" s="3">
        <v>0</v>
      </c>
      <c r="F8" s="3">
        <v>0.0234115912216372</v>
      </c>
      <c r="G8" s="3">
        <v>0.0112486751131014</v>
      </c>
      <c r="H8" s="3">
        <v>0.014589975693349</v>
      </c>
      <c r="I8" s="3">
        <v>0</v>
      </c>
      <c r="J8" s="3">
        <v>0.0368750726330406</v>
      </c>
      <c r="K8" s="3">
        <v>0.0219878242412713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tabSelected="1" zoomScale="85" zoomScaleNormal="85" workbookViewId="0">
      <selection activeCell="H17" sqref="H17"/>
    </sheetView>
  </sheetViews>
  <sheetFormatPr defaultColWidth="9" defaultRowHeight="14" outlineLevelRow="7" outlineLevelCol="4"/>
  <cols>
    <col min="2" max="5" width="12.8181818181818" customWidth="1"/>
  </cols>
  <sheetData>
    <row r="1" spans="1:5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</row>
    <row r="2" spans="1:5">
      <c r="A2" s="1">
        <v>2019</v>
      </c>
      <c r="B2" s="2">
        <v>0.736355642527849</v>
      </c>
      <c r="C2" s="3">
        <v>0.559454635928436</v>
      </c>
      <c r="D2" s="3">
        <v>0.474405450989202</v>
      </c>
      <c r="E2" s="3">
        <v>0.699734166779002</v>
      </c>
    </row>
    <row r="3" spans="1:5">
      <c r="A3" s="1">
        <v>2020</v>
      </c>
      <c r="B3" s="2">
        <v>0.469877851005454</v>
      </c>
      <c r="C3" s="3">
        <v>1</v>
      </c>
      <c r="D3" s="3">
        <v>0.8793595932421</v>
      </c>
      <c r="E3" s="3">
        <v>1</v>
      </c>
    </row>
    <row r="4" spans="1:5">
      <c r="A4" s="1">
        <v>2021</v>
      </c>
      <c r="B4" s="2">
        <v>0.976780257928847</v>
      </c>
      <c r="C4" s="3">
        <v>0.612714641513026</v>
      </c>
      <c r="D4" s="3">
        <v>0.749108826731102</v>
      </c>
      <c r="E4" s="3">
        <v>0.105181404604118</v>
      </c>
    </row>
    <row r="5" spans="1:5">
      <c r="A5" s="1">
        <v>2022</v>
      </c>
      <c r="B5" s="2">
        <v>0.169553603636828</v>
      </c>
      <c r="C5" s="3">
        <v>0.0413390296655047</v>
      </c>
      <c r="D5" s="3">
        <v>0.262288568738344</v>
      </c>
      <c r="E5" s="3">
        <v>0.249546026406166</v>
      </c>
    </row>
    <row r="6" spans="1:5">
      <c r="A6" s="1">
        <v>2023</v>
      </c>
      <c r="B6" s="2">
        <v>0.34083688966275</v>
      </c>
      <c r="C6" s="3">
        <v>0.0241802005831041</v>
      </c>
      <c r="D6" s="3">
        <v>0.355288875246377</v>
      </c>
      <c r="E6" s="3">
        <v>0.144296745638277</v>
      </c>
    </row>
    <row r="7" spans="1:5">
      <c r="A7" s="1">
        <v>2024</v>
      </c>
      <c r="B7" s="2">
        <v>0.161679113915668</v>
      </c>
      <c r="C7" s="3">
        <v>0.0311928776978616</v>
      </c>
      <c r="D7" s="3">
        <v>0.00381799362008548</v>
      </c>
      <c r="E7" s="3">
        <v>0.147995265658561</v>
      </c>
    </row>
    <row r="8" spans="1:5">
      <c r="A8" s="1">
        <v>2025</v>
      </c>
      <c r="B8" s="2">
        <v>0.0497377528690686</v>
      </c>
      <c r="C8" s="3">
        <v>0.126226053238049</v>
      </c>
      <c r="D8" s="3">
        <v>0.081529665981736</v>
      </c>
      <c r="E8" s="3">
        <v>0.303868992172187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原始数据</vt:lpstr>
      <vt:lpstr>标准化数据</vt:lpstr>
      <vt:lpstr>指标权重</vt:lpstr>
      <vt:lpstr>TOPSIS结果</vt:lpstr>
      <vt:lpstr>加权矩阵</vt:lpstr>
      <vt:lpstr>各维度综合得分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WPS_1652015967</cp:lastModifiedBy>
  <dcterms:created xsi:type="dcterms:W3CDTF">2026-06-01T16:50:00Z</dcterms:created>
  <dcterms:modified xsi:type="dcterms:W3CDTF">2026-06-01T22:40:50Z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2052-12.1.0.18912</vt:lpwstr>
  </property>
  <property fmtid="{D5CDD505-2E9C-101B-9397-08002B2CF9AE}" pid="3" name="ICV">
    <vt:lpwstr>A4D54328171845C5915131A09E8A2C7B_12</vt:lpwstr>
  </property>
</Properties>
</file>